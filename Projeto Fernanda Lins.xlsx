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nda\Desktop\Dio - projeto\"/>
    </mc:Choice>
  </mc:AlternateContent>
  <xr:revisionPtr revIDLastSave="0" documentId="13_ncr:1_{38F31A31-0850-4F23-8F01-78E53691A557}" xr6:coauthVersionLast="47" xr6:coauthVersionMax="47" xr10:uidLastSave="{00000000-0000-0000-0000-000000000000}"/>
  <bookViews>
    <workbookView xWindow="-120" yWindow="-120" windowWidth="20730" windowHeight="11160" xr2:uid="{057DB2AE-3FE2-42CD-A46A-986849716490}"/>
  </bookViews>
  <sheets>
    <sheet name="Planilha1" sheetId="1" r:id="rId1"/>
    <sheet name="Planilha2" sheetId="2" r:id="rId2"/>
  </sheets>
  <definedNames>
    <definedName name="aporte">Planilha1!$D$14</definedName>
    <definedName name="CENARIOS">Planilha1!$B$20</definedName>
    <definedName name="CHAVE">Planilha2!$A$2</definedName>
    <definedName name="DESENVOLVIMENTO">Planilha1!$B$35</definedName>
    <definedName name="DIVIDENDOS">Planilha1!$D$20</definedName>
    <definedName name="FOFS">Planilha1!$B$34</definedName>
    <definedName name="HIBRIDO">Planilha1!$B$33</definedName>
    <definedName name="HOTELARIA">Planilha1!$B$36</definedName>
    <definedName name="PAPEL">Planilha1!$B$31</definedName>
    <definedName name="PERCENTUAL_SUGERIDO">Planilha1!$C$30</definedName>
    <definedName name="PERFIL">Planilha1!$D$27</definedName>
    <definedName name="qtd_anos">Planilha1!$D$15</definedName>
    <definedName name="qts_anos">Planilha1!$D$15</definedName>
    <definedName name="rendimento_carteira">Planilha1!$D$10</definedName>
    <definedName name="sugeestao_investimento">Planilha1!$D$11</definedName>
    <definedName name="taxa_mensal">Planilha1!$D$16</definedName>
    <definedName name="TIJOLO">Planilha1!$B$32</definedName>
    <definedName name="TIPO_DE_FII">Planilha1!$B$30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" l="1"/>
  <c r="C33" i="1"/>
  <c r="C34" i="1"/>
  <c r="D34" i="1" s="1"/>
  <c r="C35" i="1"/>
  <c r="D35" i="1" s="1"/>
  <c r="C36" i="1"/>
  <c r="D36" i="1" s="1"/>
  <c r="C31" i="1"/>
  <c r="D31" i="1" s="1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9" i="2"/>
  <c r="A3" i="2"/>
  <c r="D32" i="1"/>
  <c r="D33" i="1"/>
  <c r="D16" i="1"/>
  <c r="C22" i="1" s="1"/>
  <c r="D22" i="1" s="1"/>
  <c r="C37" i="1" l="1"/>
  <c r="D37" i="1"/>
  <c r="C25" i="1"/>
  <c r="D25" i="1" s="1"/>
  <c r="D17" i="1"/>
  <c r="D18" i="1" s="1"/>
  <c r="C23" i="1"/>
  <c r="D23" i="1" s="1"/>
  <c r="C24" i="1"/>
  <c r="D24" i="1" s="1"/>
  <c r="C21" i="1"/>
  <c r="D21" i="1" s="1"/>
</calcChain>
</file>

<file path=xl/sharedStrings.xml><?xml version="1.0" encoding="utf-8"?>
<sst xmlns="http://schemas.openxmlformats.org/spreadsheetml/2006/main" count="70" uniqueCount="35">
  <si>
    <t>Quanto investir por mês</t>
  </si>
  <si>
    <t>Por quantos anos</t>
  </si>
  <si>
    <t>Taxa de rendimento mensal</t>
  </si>
  <si>
    <t>Período acumulado</t>
  </si>
  <si>
    <t xml:space="preserve">Dividendos menasis </t>
  </si>
  <si>
    <t>INVESTIMENTO MENSAL</t>
  </si>
  <si>
    <t>CENÁRIOS</t>
  </si>
  <si>
    <t>Quanto em 2 anos</t>
  </si>
  <si>
    <t>Quanto em 5 anos</t>
  </si>
  <si>
    <t>Quanto em 20 anos</t>
  </si>
  <si>
    <t>Quanto em 30 anos</t>
  </si>
  <si>
    <t>Quanto em 10 anos</t>
  </si>
  <si>
    <t>DIVIDENDOS</t>
  </si>
  <si>
    <t>CONFIGURAÇÕES</t>
  </si>
  <si>
    <t>Salário</t>
  </si>
  <si>
    <t>Rendimento carteira</t>
  </si>
  <si>
    <t>Sugestão de investimento</t>
  </si>
  <si>
    <t>Perfil</t>
  </si>
  <si>
    <t>AGRESSIVO</t>
  </si>
  <si>
    <t>CONSERVADOR</t>
  </si>
  <si>
    <t>VALOR A SER IVESTIDO POR MÊS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</si>
  <si>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</si>
  <si>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</si>
  <si>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</si>
  <si>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</si>
  <si>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</si>
  <si>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</si>
  <si>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</si>
  <si>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</si>
  <si>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</t>
  </si>
  <si>
    <t>PERFIL</t>
  </si>
  <si>
    <t>CHAVE</t>
  </si>
  <si>
    <t>MODERADO</t>
  </si>
  <si>
    <t>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</si>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</sst>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6" formatCode="&quot;R$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2"/>
      <color theme="0"/>
      <name val="Arial"/>
      <family val="2"/>
    </font>
    <font>
      <sz val="16"/>
      <color theme="0"/>
      <name val="Arial"/>
      <family val="2"/>
    </font>
    <font>
      <sz val="8"/>
      <color theme="0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/>
    <xf numFmtId="0" fontId="2" fillId="0" borderId="0" xfId="0" applyFont="1"/>
    <xf numFmtId="0" fontId="6" fillId="2" borderId="2" xfId="0" applyFont="1" applyFill="1" applyBorder="1" applyAlignment="1">
      <alignment horizontal="center" vertical="center"/>
    </xf>
    <xf numFmtId="9" fontId="0" fillId="0" borderId="0" xfId="0" applyNumberFormat="1"/>
    <xf numFmtId="0" fontId="7" fillId="4" borderId="11" xfId="0" applyFont="1" applyFill="1" applyBorder="1"/>
    <xf numFmtId="0" fontId="7" fillId="4" borderId="13" xfId="0" applyFont="1" applyFill="1" applyBorder="1"/>
    <xf numFmtId="0" fontId="7" fillId="4" borderId="15" xfId="0" applyFont="1" applyFill="1" applyBorder="1"/>
    <xf numFmtId="10" fontId="7" fillId="0" borderId="1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left"/>
    </xf>
    <xf numFmtId="0" fontId="7" fillId="4" borderId="9" xfId="0" applyFont="1" applyFill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4" borderId="11" xfId="0" applyFont="1" applyFill="1" applyBorder="1" applyAlignment="1">
      <alignment horizontal="left"/>
    </xf>
    <xf numFmtId="0" fontId="7" fillId="4" borderId="13" xfId="0" applyFont="1" applyFill="1" applyBorder="1" applyAlignment="1">
      <alignment horizontal="left"/>
    </xf>
    <xf numFmtId="0" fontId="7" fillId="4" borderId="15" xfId="0" applyFont="1" applyFill="1" applyBorder="1" applyAlignment="1">
      <alignment horizontal="left"/>
    </xf>
    <xf numFmtId="0" fontId="7" fillId="4" borderId="16" xfId="0" applyFont="1" applyFill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14" xfId="1" applyNumberFormat="1" applyFont="1" applyBorder="1" applyAlignment="1">
      <alignment horizontal="center"/>
    </xf>
    <xf numFmtId="10" fontId="7" fillId="0" borderId="14" xfId="0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18" xfId="0" applyBorder="1"/>
    <xf numFmtId="9" fontId="0" fillId="0" borderId="18" xfId="0" applyNumberFormat="1" applyBorder="1"/>
    <xf numFmtId="9" fontId="0" fillId="0" borderId="0" xfId="0" applyNumberFormat="1" applyFill="1" applyBorder="1"/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6" fontId="7" fillId="4" borderId="10" xfId="0" applyNumberFormat="1" applyFont="1" applyFill="1" applyBorder="1" applyAlignment="1">
      <alignment horizontal="left"/>
    </xf>
    <xf numFmtId="166" fontId="7" fillId="4" borderId="12" xfId="0" applyNumberFormat="1" applyFont="1" applyFill="1" applyBorder="1" applyAlignment="1">
      <alignment horizontal="left"/>
    </xf>
    <xf numFmtId="166" fontId="7" fillId="4" borderId="9" xfId="0" applyNumberFormat="1" applyFont="1" applyFill="1" applyBorder="1" applyAlignment="1">
      <alignment horizontal="left"/>
    </xf>
    <xf numFmtId="166" fontId="7" fillId="4" borderId="14" xfId="0" applyNumberFormat="1" applyFont="1" applyFill="1" applyBorder="1" applyAlignment="1">
      <alignment horizontal="left"/>
    </xf>
    <xf numFmtId="166" fontId="7" fillId="4" borderId="16" xfId="0" applyNumberFormat="1" applyFont="1" applyFill="1" applyBorder="1" applyAlignment="1">
      <alignment horizontal="left"/>
    </xf>
    <xf numFmtId="166" fontId="7" fillId="4" borderId="17" xfId="0" applyNumberFormat="1" applyFont="1" applyFill="1" applyBorder="1" applyAlignment="1">
      <alignment horizontal="left"/>
    </xf>
    <xf numFmtId="166" fontId="7" fillId="0" borderId="12" xfId="1" applyNumberFormat="1" applyFont="1" applyBorder="1" applyAlignment="1">
      <alignment horizontal="left"/>
    </xf>
    <xf numFmtId="166" fontId="7" fillId="0" borderId="12" xfId="1" applyNumberFormat="1" applyFont="1" applyBorder="1" applyAlignment="1">
      <alignment horizontal="left" vertical="center"/>
    </xf>
    <xf numFmtId="166" fontId="7" fillId="0" borderId="17" xfId="1" applyNumberFormat="1" applyFont="1" applyBorder="1" applyAlignment="1">
      <alignment horizontal="left" vertical="center"/>
    </xf>
    <xf numFmtId="0" fontId="7" fillId="0" borderId="3" xfId="0" applyFont="1" applyBorder="1"/>
    <xf numFmtId="9" fontId="7" fillId="0" borderId="0" xfId="0" applyNumberFormat="1" applyFont="1" applyBorder="1" applyAlignment="1">
      <alignment horizontal="center"/>
    </xf>
    <xf numFmtId="166" fontId="7" fillId="3" borderId="4" xfId="0" applyNumberFormat="1" applyFont="1" applyFill="1" applyBorder="1" applyAlignment="1">
      <alignment horizontal="left"/>
    </xf>
    <xf numFmtId="0" fontId="7" fillId="3" borderId="5" xfId="0" applyFont="1" applyFill="1" applyBorder="1"/>
    <xf numFmtId="9" fontId="7" fillId="3" borderId="6" xfId="0" applyNumberFormat="1" applyFont="1" applyFill="1" applyBorder="1" applyAlignment="1">
      <alignment horizontal="center"/>
    </xf>
    <xf numFmtId="166" fontId="7" fillId="3" borderId="6" xfId="0" applyNumberFormat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66" fontId="7" fillId="0" borderId="6" xfId="0" applyNumberFormat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Planilha1!$C$30</c:f>
              <c:strCache>
                <c:ptCount val="1"/>
                <c:pt idx="0">
                  <c:v>Percentual Sugerido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Planilha1!$B$31:$B$36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Planilha1!$C$31:$C$36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C-4D81-A235-4FD8F3640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361950</xdr:colOff>
      <xdr:row>1</xdr:row>
      <xdr:rowOff>19051</xdr:rowOff>
    </xdr:from>
    <xdr:to>
      <xdr:col>4</xdr:col>
      <xdr:colOff>19050</xdr:colOff>
      <xdr:row>6</xdr:row>
      <xdr:rowOff>142975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E184F44-6632-5791-BC9F-409A47BEE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209551"/>
          <a:ext cx="3771900" cy="1076424"/>
        </a:xfrm>
        <a:prstGeom prst="rect">
          <a:avLst/>
        </a:prstGeom>
      </xdr:spPr>
    </xdr:pic>
    <xdr:clientData/>
  </xdr:twoCellAnchor>
  <xdr:twoCellAnchor>
    <xdr:from>
      <xdr:col>0</xdr:col>
      <xdr:colOff>109537</xdr:colOff>
      <xdr:row>38</xdr:row>
      <xdr:rowOff>0</xdr:rowOff>
    </xdr:from>
    <xdr:to>
      <xdr:col>4</xdr:col>
      <xdr:colOff>566737</xdr:colOff>
      <xdr:row>52</xdr:row>
      <xdr:rowOff>42862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0CCAE5D-9A8C-FBB7-30C0-8C4BC5CF1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68531-9966-4C77-A7AC-F413852F4417}">
  <dimension ref="A1:F55"/>
  <sheetViews>
    <sheetView showGridLines="0" tabSelected="1" zoomScaleNormal="100" workbookViewId="0">
      <selection activeCell="E10" sqref="E10"/>
    </sheetView>
  </sheetViews>
  <sheetFormatPr defaultColWidth="0" defaultRowHeight="15" zeroHeight="1" x14ac:dyDescent="0.25"/>
  <cols>
    <col min="1" max="1" width="6.28515625" customWidth="1"/>
    <col min="2" max="2" width="21" bestFit="1" customWidth="1"/>
    <col min="3" max="3" width="20.7109375" customWidth="1"/>
    <col min="4" max="4" width="13.7109375" bestFit="1" customWidth="1"/>
    <col min="5" max="5" width="8.140625" customWidth="1"/>
    <col min="6" max="6" width="13.85546875" hidden="1" customWidth="1"/>
    <col min="7" max="8" width="9.140625" hidden="1" customWidth="1"/>
    <col min="9" max="16384" width="9.140625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ht="20.25" customHeight="1" thickBot="1" x14ac:dyDescent="0.3"/>
    <row r="8" spans="2:4" ht="20.25" x14ac:dyDescent="0.25">
      <c r="B8" s="11" t="s">
        <v>13</v>
      </c>
      <c r="C8" s="12"/>
      <c r="D8" s="29"/>
    </row>
    <row r="9" spans="2:4" ht="15.75" x14ac:dyDescent="0.25">
      <c r="B9" s="17" t="s">
        <v>14</v>
      </c>
      <c r="C9" s="13"/>
      <c r="D9" s="43">
        <v>5000</v>
      </c>
    </row>
    <row r="10" spans="2:4" ht="15.75" x14ac:dyDescent="0.25">
      <c r="B10" s="18" t="s">
        <v>15</v>
      </c>
      <c r="C10" s="14"/>
      <c r="D10" s="8">
        <v>1.0800000000000001E-2</v>
      </c>
    </row>
    <row r="11" spans="2:4" ht="16.5" thickBot="1" x14ac:dyDescent="0.3">
      <c r="B11" s="19" t="s">
        <v>16</v>
      </c>
      <c r="C11" s="20"/>
      <c r="D11" s="44">
        <v>1500</v>
      </c>
    </row>
    <row r="12" spans="2:4" ht="15.75" thickBot="1" x14ac:dyDescent="0.3"/>
    <row r="13" spans="2:4" ht="20.25" x14ac:dyDescent="0.3">
      <c r="B13" s="9" t="s">
        <v>5</v>
      </c>
      <c r="C13" s="10"/>
      <c r="D13" s="25"/>
    </row>
    <row r="14" spans="2:4" ht="15.75" x14ac:dyDescent="0.25">
      <c r="B14" s="21" t="s">
        <v>0</v>
      </c>
      <c r="C14" s="15"/>
      <c r="D14" s="42">
        <v>100</v>
      </c>
    </row>
    <row r="15" spans="2:4" ht="15.75" x14ac:dyDescent="0.25">
      <c r="B15" s="22" t="s">
        <v>1</v>
      </c>
      <c r="C15" s="16"/>
      <c r="D15" s="23">
        <v>5</v>
      </c>
    </row>
    <row r="16" spans="2:4" ht="15.75" x14ac:dyDescent="0.25">
      <c r="B16" s="22" t="s">
        <v>2</v>
      </c>
      <c r="C16" s="16"/>
      <c r="D16" s="24">
        <f>D10</f>
        <v>1.0800000000000001E-2</v>
      </c>
    </row>
    <row r="17" spans="1:6" ht="15.75" x14ac:dyDescent="0.25">
      <c r="B17" s="18" t="s">
        <v>3</v>
      </c>
      <c r="C17" s="14"/>
      <c r="D17" s="39">
        <f>FV(taxa_mensal,qtd_anos*12,aporte*-1)</f>
        <v>8380.4019359258436</v>
      </c>
      <c r="E17" s="1"/>
      <c r="F17" s="1"/>
    </row>
    <row r="18" spans="1:6" ht="16.5" thickBot="1" x14ac:dyDescent="0.3">
      <c r="B18" s="19" t="s">
        <v>4</v>
      </c>
      <c r="C18" s="20"/>
      <c r="D18" s="41">
        <f>D17*rendimento_carteira</f>
        <v>90.508340907999113</v>
      </c>
      <c r="E18" s="1"/>
      <c r="F18" s="1"/>
    </row>
    <row r="19" spans="1:6" ht="15.75" thickBot="1" x14ac:dyDescent="0.3">
      <c r="B19" s="1"/>
      <c r="C19" s="1"/>
      <c r="D19" s="1"/>
      <c r="E19" s="1"/>
      <c r="F19" s="1"/>
    </row>
    <row r="20" spans="1:6" ht="20.25" x14ac:dyDescent="0.25">
      <c r="B20" s="11" t="s">
        <v>6</v>
      </c>
      <c r="C20" s="12"/>
      <c r="D20" s="3" t="s">
        <v>12</v>
      </c>
      <c r="E20" s="1"/>
      <c r="F20" s="1"/>
    </row>
    <row r="21" spans="1:6" ht="15.75" x14ac:dyDescent="0.25">
      <c r="A21" s="2">
        <v>2</v>
      </c>
      <c r="B21" s="5" t="s">
        <v>7</v>
      </c>
      <c r="C21" s="36">
        <f>FV($D$16,$A21*12,D$14*-1)</f>
        <v>2723.086366058159</v>
      </c>
      <c r="D21" s="37">
        <f>C21*rendimento_carteira</f>
        <v>29.409332753428117</v>
      </c>
      <c r="E21" s="1"/>
      <c r="F21" s="1"/>
    </row>
    <row r="22" spans="1:6" ht="15.75" x14ac:dyDescent="0.25">
      <c r="A22" s="2">
        <v>5</v>
      </c>
      <c r="B22" s="6" t="s">
        <v>8</v>
      </c>
      <c r="C22" s="38">
        <f>FV($D$16,$A22*12,D$14*-1)</f>
        <v>8380.4019359258436</v>
      </c>
      <c r="D22" s="39">
        <f>C22*rendimento_carteira</f>
        <v>90.508340907999113</v>
      </c>
      <c r="E22" s="1"/>
      <c r="F22" s="1"/>
    </row>
    <row r="23" spans="1:6" ht="15.75" x14ac:dyDescent="0.25">
      <c r="A23" s="2">
        <v>10</v>
      </c>
      <c r="B23" s="6" t="s">
        <v>11</v>
      </c>
      <c r="C23" s="38">
        <f>FV($D$16,$A23*12,D$14*-1)</f>
        <v>24345.76662548001</v>
      </c>
      <c r="D23" s="39">
        <f>C23*rendimento_carteira</f>
        <v>262.9342795551841</v>
      </c>
      <c r="E23" s="1"/>
      <c r="F23" s="1"/>
    </row>
    <row r="24" spans="1:6" ht="15.75" x14ac:dyDescent="0.25">
      <c r="A24" s="2">
        <v>20</v>
      </c>
      <c r="B24" s="6" t="s">
        <v>9</v>
      </c>
      <c r="C24" s="38">
        <f>FV($D$16,$A24*12,D$14*-1)</f>
        <v>112704.89932985233</v>
      </c>
      <c r="D24" s="39">
        <f>C24*rendimento_carteira</f>
        <v>1217.2129127624053</v>
      </c>
      <c r="E24" s="1"/>
      <c r="F24" s="1"/>
    </row>
    <row r="25" spans="1:6" ht="16.5" thickBot="1" x14ac:dyDescent="0.3">
      <c r="A25" s="2">
        <v>30</v>
      </c>
      <c r="B25" s="7" t="s">
        <v>10</v>
      </c>
      <c r="C25" s="40">
        <f>FV($D$16,$A25*12,D$14*-1)</f>
        <v>433390.48103167512</v>
      </c>
      <c r="D25" s="41">
        <f>C25*rendimento_carteira</f>
        <v>4680.617195142092</v>
      </c>
      <c r="E25" s="1"/>
      <c r="F25" s="1"/>
    </row>
    <row r="26" spans="1:6" ht="15.75" thickBot="1" x14ac:dyDescent="0.3"/>
    <row r="27" spans="1:6" ht="15.75" x14ac:dyDescent="0.25">
      <c r="B27" s="30" t="s">
        <v>17</v>
      </c>
      <c r="C27" s="31"/>
      <c r="D27" s="32" t="s">
        <v>18</v>
      </c>
    </row>
    <row r="28" spans="1:6" ht="16.5" thickBot="1" x14ac:dyDescent="0.3">
      <c r="B28" s="51" t="s">
        <v>20</v>
      </c>
      <c r="C28" s="52"/>
      <c r="D28" s="53">
        <v>500</v>
      </c>
    </row>
    <row r="29" spans="1:6" ht="15.75" thickBot="1" x14ac:dyDescent="0.3"/>
    <row r="30" spans="1:6" x14ac:dyDescent="0.25">
      <c r="B30" s="33" t="s">
        <v>21</v>
      </c>
      <c r="C30" s="34" t="s">
        <v>22</v>
      </c>
      <c r="D30" s="35" t="s">
        <v>23</v>
      </c>
    </row>
    <row r="31" spans="1:6" ht="15.75" x14ac:dyDescent="0.25">
      <c r="B31" s="45" t="s">
        <v>24</v>
      </c>
      <c r="C31" s="46">
        <f>VLOOKUP($D$27&amp;"-"&amp;B31,Planilha2!A:D,4,)</f>
        <v>0.5</v>
      </c>
      <c r="D31" s="47">
        <f>C31*$D$28</f>
        <v>250</v>
      </c>
    </row>
    <row r="32" spans="1:6" ht="15.75" x14ac:dyDescent="0.25">
      <c r="B32" s="45" t="s">
        <v>25</v>
      </c>
      <c r="C32" s="46">
        <f>VLOOKUP($D$27&amp;"-"&amp;B32,Planilha2!A:D,4,)</f>
        <v>0.1</v>
      </c>
      <c r="D32" s="47">
        <f>C32*$D$28</f>
        <v>50</v>
      </c>
    </row>
    <row r="33" spans="2:4" ht="15.75" x14ac:dyDescent="0.25">
      <c r="B33" s="45" t="s">
        <v>26</v>
      </c>
      <c r="C33" s="46">
        <f>VLOOKUP($D$27&amp;"-"&amp;B33,Planilha2!A:D,4,)</f>
        <v>0.05</v>
      </c>
      <c r="D33" s="47">
        <f>C33*$D$28</f>
        <v>25</v>
      </c>
    </row>
    <row r="34" spans="2:4" ht="15.75" x14ac:dyDescent="0.25">
      <c r="B34" s="45" t="s">
        <v>27</v>
      </c>
      <c r="C34" s="46">
        <f>VLOOKUP($D$27&amp;"-"&amp;B34,Planilha2!A:D,4,)</f>
        <v>0.05</v>
      </c>
      <c r="D34" s="47">
        <f>C34*$D$28</f>
        <v>25</v>
      </c>
    </row>
    <row r="35" spans="2:4" ht="15.75" x14ac:dyDescent="0.25">
      <c r="B35" s="45" t="s">
        <v>28</v>
      </c>
      <c r="C35" s="46">
        <f>VLOOKUP($D$27&amp;"-"&amp;B35,Planilha2!A:D,4,)</f>
        <v>0.2</v>
      </c>
      <c r="D35" s="47">
        <f>C35*$D$28</f>
        <v>100</v>
      </c>
    </row>
    <row r="36" spans="2:4" ht="15.75" x14ac:dyDescent="0.25">
      <c r="B36" s="45" t="s">
        <v>29</v>
      </c>
      <c r="C36" s="46">
        <f>VLOOKUP($D$27&amp;"-"&amp;B36,Planilha2!A:D,4,)</f>
        <v>0.1</v>
      </c>
      <c r="D36" s="47">
        <f>C36*$D$28</f>
        <v>50</v>
      </c>
    </row>
    <row r="37" spans="2:4" ht="16.5" thickBot="1" x14ac:dyDescent="0.3">
      <c r="B37" s="48" t="s">
        <v>34</v>
      </c>
      <c r="C37" s="49">
        <f>SUM(C31:C36)</f>
        <v>1.0000000000000002</v>
      </c>
      <c r="D37" s="50">
        <f>SUM(D31:D36)</f>
        <v>500</v>
      </c>
    </row>
    <row r="38" spans="2:4" x14ac:dyDescent="0.25"/>
    <row r="39" spans="2:4" x14ac:dyDescent="0.25"/>
    <row r="40" spans="2:4" x14ac:dyDescent="0.25"/>
    <row r="41" spans="2:4" x14ac:dyDescent="0.25"/>
    <row r="42" spans="2:4" x14ac:dyDescent="0.25"/>
    <row r="43" spans="2:4" x14ac:dyDescent="0.25"/>
    <row r="44" spans="2:4" x14ac:dyDescent="0.25"/>
    <row r="45" spans="2:4" x14ac:dyDescent="0.25"/>
    <row r="46" spans="2:4" x14ac:dyDescent="0.25"/>
    <row r="47" spans="2:4" x14ac:dyDescent="0.25"/>
    <row r="48" spans="2:4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</sheetData>
  <mergeCells count="13">
    <mergeCell ref="B10:C10"/>
    <mergeCell ref="B11:C11"/>
    <mergeCell ref="B8:D8"/>
    <mergeCell ref="B13:D13"/>
    <mergeCell ref="B27:C27"/>
    <mergeCell ref="B28:C28"/>
    <mergeCell ref="B20:C20"/>
    <mergeCell ref="B14:C14"/>
    <mergeCell ref="B15:C15"/>
    <mergeCell ref="B16:C16"/>
    <mergeCell ref="B17:C17"/>
    <mergeCell ref="B18:C18"/>
    <mergeCell ref="B9:C9"/>
  </mergeCells>
  <dataValidations disablePrompts="1" count="1">
    <dataValidation type="list" allowBlank="1" showInputMessage="1" showErrorMessage="1" sqref="D27" xr:uid="{8E869BE9-5DA4-4D52-B2C9-680150869BB2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EE97-4158-48F2-AA42-420130EEF2D7}">
  <dimension ref="A2:E20"/>
  <sheetViews>
    <sheetView workbookViewId="0">
      <selection activeCell="C2" sqref="C2"/>
    </sheetView>
  </sheetViews>
  <sheetFormatPr defaultRowHeight="15" x14ac:dyDescent="0.25"/>
  <cols>
    <col min="1" max="1" width="21" bestFit="1" customWidth="1"/>
    <col min="2" max="2" width="14.7109375" bestFit="1" customWidth="1"/>
    <col min="3" max="3" width="19" bestFit="1" customWidth="1"/>
    <col min="4" max="4" width="19.140625" bestFit="1" customWidth="1"/>
  </cols>
  <sheetData>
    <row r="2" spans="1:5" x14ac:dyDescent="0.25">
      <c r="A2" t="s">
        <v>31</v>
      </c>
      <c r="B2" t="s">
        <v>30</v>
      </c>
      <c r="C2" t="s">
        <v>21</v>
      </c>
      <c r="D2" t="s">
        <v>33</v>
      </c>
    </row>
    <row r="3" spans="1:5" x14ac:dyDescent="0.25">
      <c r="A3" t="str">
        <f>B3&amp;"-"&amp;C3</f>
        <v>CONSERVADOR-PAPEL</v>
      </c>
      <c r="B3" t="s">
        <v>19</v>
      </c>
      <c r="C3" t="s">
        <v>24</v>
      </c>
      <c r="D3" s="4">
        <v>0.3</v>
      </c>
    </row>
    <row r="4" spans="1:5" x14ac:dyDescent="0.25">
      <c r="A4" t="str">
        <f t="shared" ref="A4:A20" si="0">B4&amp;"-"&amp;C4</f>
        <v>CONSERVADOR-TIJOLO</v>
      </c>
      <c r="B4" t="s">
        <v>19</v>
      </c>
      <c r="C4" t="s">
        <v>25</v>
      </c>
      <c r="D4" s="4">
        <v>0.5</v>
      </c>
    </row>
    <row r="5" spans="1:5" x14ac:dyDescent="0.25">
      <c r="A5" t="str">
        <f t="shared" si="0"/>
        <v>CONSERVADOR-HIBRIDOS</v>
      </c>
      <c r="B5" t="s">
        <v>19</v>
      </c>
      <c r="C5" t="s">
        <v>26</v>
      </c>
      <c r="D5" s="4">
        <v>0.1</v>
      </c>
    </row>
    <row r="6" spans="1:5" x14ac:dyDescent="0.25">
      <c r="A6" t="str">
        <f t="shared" si="0"/>
        <v>CONSERVADOR-FOFs</v>
      </c>
      <c r="B6" t="s">
        <v>19</v>
      </c>
      <c r="C6" t="s">
        <v>27</v>
      </c>
      <c r="D6" s="4">
        <v>0.1</v>
      </c>
    </row>
    <row r="7" spans="1:5" x14ac:dyDescent="0.25">
      <c r="A7" t="str">
        <f t="shared" si="0"/>
        <v>CONSERVADOR-DESENVOLVIMENTO</v>
      </c>
      <c r="B7" t="s">
        <v>19</v>
      </c>
      <c r="C7" t="s">
        <v>28</v>
      </c>
      <c r="D7" s="4"/>
    </row>
    <row r="8" spans="1:5" x14ac:dyDescent="0.25">
      <c r="A8" s="26" t="str">
        <f t="shared" si="0"/>
        <v>CONSERVADOR-HOTELARIA</v>
      </c>
      <c r="B8" s="26" t="s">
        <v>19</v>
      </c>
      <c r="C8" s="26" t="s">
        <v>29</v>
      </c>
      <c r="D8" s="27"/>
      <c r="E8" s="26"/>
    </row>
    <row r="9" spans="1:5" x14ac:dyDescent="0.25">
      <c r="A9" t="str">
        <f t="shared" si="0"/>
        <v>MODERADO-PAPEL</v>
      </c>
      <c r="B9" t="s">
        <v>32</v>
      </c>
      <c r="C9" t="s">
        <v>24</v>
      </c>
      <c r="D9" s="28">
        <v>0.32</v>
      </c>
    </row>
    <row r="10" spans="1:5" x14ac:dyDescent="0.25">
      <c r="A10" t="str">
        <f t="shared" si="0"/>
        <v>MODERADO-TIJOLO</v>
      </c>
      <c r="B10" t="s">
        <v>32</v>
      </c>
      <c r="C10" t="s">
        <v>25</v>
      </c>
      <c r="D10" s="28">
        <v>0.35</v>
      </c>
    </row>
    <row r="11" spans="1:5" x14ac:dyDescent="0.25">
      <c r="A11" t="str">
        <f t="shared" si="0"/>
        <v>MODERADO-HIBRIDOS</v>
      </c>
      <c r="B11" t="s">
        <v>32</v>
      </c>
      <c r="C11" t="s">
        <v>26</v>
      </c>
      <c r="D11" s="28">
        <v>0.08</v>
      </c>
    </row>
    <row r="12" spans="1:5" x14ac:dyDescent="0.25">
      <c r="A12" t="str">
        <f t="shared" si="0"/>
        <v>MODERADO-FOFs</v>
      </c>
      <c r="B12" t="s">
        <v>32</v>
      </c>
      <c r="C12" t="s">
        <v>27</v>
      </c>
      <c r="D12" s="28">
        <v>0.05</v>
      </c>
    </row>
    <row r="13" spans="1:5" x14ac:dyDescent="0.25">
      <c r="A13" t="str">
        <f t="shared" si="0"/>
        <v>MODERADO-DESENVOLVIMENTO</v>
      </c>
      <c r="B13" t="s">
        <v>32</v>
      </c>
      <c r="C13" t="s">
        <v>28</v>
      </c>
      <c r="D13" s="28">
        <v>0.1</v>
      </c>
    </row>
    <row r="14" spans="1:5" x14ac:dyDescent="0.25">
      <c r="A14" s="26" t="str">
        <f t="shared" si="0"/>
        <v>MODERADO-HOTELARIA</v>
      </c>
      <c r="B14" s="26" t="s">
        <v>32</v>
      </c>
      <c r="C14" s="26" t="s">
        <v>29</v>
      </c>
      <c r="D14" s="27">
        <v>0.1</v>
      </c>
      <c r="E14" s="26"/>
    </row>
    <row r="15" spans="1:5" x14ac:dyDescent="0.25">
      <c r="A15" t="str">
        <f t="shared" si="0"/>
        <v>AGRESSIVO-PAPEL</v>
      </c>
      <c r="B15" t="s">
        <v>18</v>
      </c>
      <c r="C15" t="s">
        <v>24</v>
      </c>
      <c r="D15" s="28">
        <v>0.5</v>
      </c>
    </row>
    <row r="16" spans="1:5" x14ac:dyDescent="0.25">
      <c r="A16" t="str">
        <f t="shared" si="0"/>
        <v>AGRESSIVO-TIJOLO</v>
      </c>
      <c r="B16" t="s">
        <v>18</v>
      </c>
      <c r="C16" t="s">
        <v>25</v>
      </c>
      <c r="D16" s="28">
        <v>0.1</v>
      </c>
    </row>
    <row r="17" spans="1:4" x14ac:dyDescent="0.25">
      <c r="A17" t="str">
        <f t="shared" si="0"/>
        <v>AGRESSIVO-HIBRIDOS</v>
      </c>
      <c r="B17" t="s">
        <v>18</v>
      </c>
      <c r="C17" t="s">
        <v>26</v>
      </c>
      <c r="D17" s="28">
        <v>0.05</v>
      </c>
    </row>
    <row r="18" spans="1:4" x14ac:dyDescent="0.25">
      <c r="A18" t="str">
        <f t="shared" si="0"/>
        <v>AGRESSIVO-FOFs</v>
      </c>
      <c r="B18" t="s">
        <v>18</v>
      </c>
      <c r="C18" t="s">
        <v>27</v>
      </c>
      <c r="D18" s="28">
        <v>0.05</v>
      </c>
    </row>
    <row r="19" spans="1:4" x14ac:dyDescent="0.25">
      <c r="A19" t="str">
        <f t="shared" si="0"/>
        <v>AGRESSIVO-DESENVOLVIMENTO</v>
      </c>
      <c r="B19" t="s">
        <v>18</v>
      </c>
      <c r="C19" t="s">
        <v>28</v>
      </c>
      <c r="D19" s="28">
        <v>0.2</v>
      </c>
    </row>
    <row r="20" spans="1:4" x14ac:dyDescent="0.25">
      <c r="A20" t="str">
        <f t="shared" si="0"/>
        <v>AGRESSIVO-HOTELARIA</v>
      </c>
      <c r="B20" t="s">
        <v>18</v>
      </c>
      <c r="C20" t="s">
        <v>29</v>
      </c>
      <c r="D20" s="2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18</vt:i4>
      </vt:variant>
    </vt:vector>
  </HeadingPairs>
  <TitlesOfParts>
    <vt:vector size="20" baseType="lpstr">
      <vt:lpstr>Planilha1</vt:lpstr>
      <vt:lpstr>Planilha2</vt:lpstr>
      <vt:lpstr>aporte</vt:lpstr>
      <vt:lpstr>CENARIOS</vt:lpstr>
      <vt:lpstr>CHAVE</vt:lpstr>
      <vt:lpstr>DESENVOLVIMENTO</vt:lpstr>
      <vt:lpstr>DIVIDENDOS</vt:lpstr>
      <vt:lpstr>FOFS</vt:lpstr>
      <vt:lpstr>HIBRIDO</vt:lpstr>
      <vt:lpstr>HOTELARIA</vt:lpstr>
      <vt:lpstr>PAPEL</vt:lpstr>
      <vt:lpstr>PERCENTUAL_SUGERIDO</vt:lpstr>
      <vt:lpstr>PERFIL</vt:lpstr>
      <vt:lpstr>qtd_anos</vt:lpstr>
      <vt:lpstr>qts_anos</vt:lpstr>
      <vt:lpstr>rendimento_carteira</vt:lpstr>
      <vt:lpstr>sugeestao_investimento</vt:lpstr>
      <vt:lpstr>taxa_mensal</vt:lpstr>
      <vt:lpstr>TIJOLO</vt:lpstr>
      <vt:lpstr>TIPO_DE_FII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Fernanda</cp:lastModifiedBy>
  <dcterms:created xsi:type="dcterms:W3CDTF">2026-09-24T11:20:01Z</dcterms:created>
  <dcterms:modified xsi:type="dcterms:W3CDTF">2026-09-24T14:42:34Z</dcterms:modified>
</cp:coreProperties>
</file>